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pina/Downloads/"/>
    </mc:Choice>
  </mc:AlternateContent>
  <xr:revisionPtr revIDLastSave="0" documentId="13_ncr:1_{3B7C396D-F7A1-5C4A-B65F-536C942D47D7}" xr6:coauthVersionLast="47" xr6:coauthVersionMax="47" xr10:uidLastSave="{00000000-0000-0000-0000-000000000000}"/>
  <bookViews>
    <workbookView xWindow="0" yWindow="740" windowWidth="15420" windowHeight="17100" xr2:uid="{5A61781B-93A6-40A9-9F67-8E56F050D539}"/>
  </bookViews>
  <sheets>
    <sheet name="Presupuesto" sheetId="2" r:id="rId1"/>
  </sheets>
  <definedNames>
    <definedName name="_xlnm.Print_Area" localSheetId="0">Presupuesto!$B$2:$L$43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2" l="1"/>
  <c r="L32" i="2" l="1"/>
  <c r="K24" i="2"/>
  <c r="K23" i="2"/>
  <c r="K22" i="2"/>
  <c r="K30" i="2"/>
  <c r="K29" i="2"/>
  <c r="K28" i="2"/>
  <c r="K27" i="2"/>
  <c r="K26" i="2"/>
  <c r="K25" i="2"/>
  <c r="K21" i="2"/>
  <c r="K20" i="2"/>
  <c r="K19" i="2"/>
  <c r="K18" i="2"/>
  <c r="K17" i="2"/>
  <c r="K16" i="2"/>
</calcChain>
</file>

<file path=xl/sharedStrings.xml><?xml version="1.0" encoding="utf-8"?>
<sst xmlns="http://schemas.openxmlformats.org/spreadsheetml/2006/main" count="46" uniqueCount="42">
  <si>
    <t>UTP cat 5</t>
  </si>
  <si>
    <t xml:space="preserve">Celular </t>
  </si>
  <si>
    <t>PC</t>
  </si>
  <si>
    <t>CPU</t>
  </si>
  <si>
    <t>Teclado</t>
  </si>
  <si>
    <t>Mouse</t>
  </si>
  <si>
    <t>Empresa:</t>
  </si>
  <si>
    <t>Direccion:</t>
  </si>
  <si>
    <t>Telefono</t>
  </si>
  <si>
    <t>Mail:</t>
  </si>
  <si>
    <t xml:space="preserve">Fecha del presupuesto:    </t>
  </si>
  <si>
    <t>Validez:</t>
  </si>
  <si>
    <t>DESCRIPCIÓN:</t>
  </si>
  <si>
    <t>UNIDADES:</t>
  </si>
  <si>
    <t>TOTAL:</t>
  </si>
  <si>
    <t>Sub-total</t>
  </si>
  <si>
    <t>Descuento</t>
  </si>
  <si>
    <t>IVA%</t>
  </si>
  <si>
    <t>Total Presupuestado</t>
  </si>
  <si>
    <t>Plug RJ45</t>
  </si>
  <si>
    <t>Cinchos</t>
  </si>
  <si>
    <t>Grapa para cable</t>
  </si>
  <si>
    <t xml:space="preserve">Tester </t>
  </si>
  <si>
    <t>Pinzas ponchadoras</t>
  </si>
  <si>
    <t>Equipo de no break</t>
  </si>
  <si>
    <t>Router</t>
  </si>
  <si>
    <t>Impresora</t>
  </si>
  <si>
    <t>195 metros</t>
  </si>
  <si>
    <t>GDL TECH</t>
  </si>
  <si>
    <t>Honorarios por servicio</t>
  </si>
  <si>
    <t>C. Independencia 55, Centro, 44100 Guadalajara, Jal</t>
  </si>
  <si>
    <t>soporte@gdltech.com</t>
  </si>
  <si>
    <t>+52 55 1234 5678</t>
  </si>
  <si>
    <t>unico</t>
  </si>
  <si>
    <t>C. Independencia 55, Centro, 44100 Guadalajara,</t>
  </si>
  <si>
    <t>RUBS</t>
  </si>
  <si>
    <t>33 34865258</t>
  </si>
  <si>
    <t xml:space="preserve"> acuevas@rubs.com.mx</t>
  </si>
  <si>
    <t>Firma Meztli Jazmin López Camacho</t>
  </si>
  <si>
    <t xml:space="preserve">Firma de aceptación del cliente </t>
  </si>
  <si>
    <t>PRECIO (dólares):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</si>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</sst>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$-409]#,##0.00_ ;\-[$$-409]#,##0.00\ "/>
    <numFmt numFmtId="165" formatCode="[$$-409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2"/>
      <color theme="9" tint="-0.499984740745262"/>
      <name val="Calibri"/>
      <family val="2"/>
      <scheme val="minor"/>
    </font>
    <font>
      <sz val="12"/>
      <color rgb="FF4D51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3" borderId="0" xfId="0" applyFont="1" applyFill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4" fillId="0" borderId="0" xfId="0" applyFont="1"/>
    <xf numFmtId="164" fontId="0" fillId="0" borderId="3" xfId="0" applyNumberFormat="1" applyBorder="1"/>
    <xf numFmtId="9" fontId="0" fillId="0" borderId="5" xfId="0" applyNumberFormat="1" applyBorder="1"/>
    <xf numFmtId="164" fontId="0" fillId="0" borderId="8" xfId="0" applyNumberFormat="1" applyBorder="1"/>
    <xf numFmtId="9" fontId="0" fillId="0" borderId="5" xfId="2" applyFont="1" applyBorder="1"/>
    <xf numFmtId="165" fontId="0" fillId="0" borderId="0" xfId="0" applyNumberFormat="1"/>
    <xf numFmtId="0" fontId="0" fillId="0" borderId="5" xfId="0" applyBorder="1"/>
    <xf numFmtId="165" fontId="0" fillId="0" borderId="7" xfId="0" applyNumberFormat="1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5" xfId="0" applyNumberFormat="1" applyBorder="1"/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4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164" fontId="0" fillId="0" borderId="2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0" xfId="0" applyBorder="1"/>
    <xf numFmtId="0" fontId="0" fillId="2" borderId="10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14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121920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9BB8D2D7-4EE3-4F02-B023-EF3700FEAC82}"/>
            </a:ext>
          </a:extLst>
        </xdr:cNvPr>
        <xdr:cNvSpPr>
          <a:spLocks noChangeAspect="1" noChangeArrowheads="1"/>
        </xdr:cNvSpPr>
      </xdr:nvSpPr>
      <xdr:spPr bwMode="auto">
        <a:xfrm>
          <a:off x="15849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61784</xdr:colOff>
      <xdr:row>1</xdr:row>
      <xdr:rowOff>74086</xdr:rowOff>
    </xdr:from>
    <xdr:to>
      <xdr:col>4</xdr:col>
      <xdr:colOff>339810</xdr:colOff>
      <xdr:row>4</xdr:row>
      <xdr:rowOff>125908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933CD6-EE66-4434-859F-BD8BADD3E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676" y="74086"/>
          <a:ext cx="1863810" cy="607876"/>
        </a:xfrm>
        <a:prstGeom prst="rect">
          <a:avLst/>
        </a:prstGeom>
      </xdr:spPr>
    </xdr:pic>
    <xdr:clientData/>
  </xdr:twoCellAnchor>
  <xdr:twoCellAnchor editAs="oneCell">
    <xdr:from>
      <xdr:col>3</xdr:col>
      <xdr:colOff>156177</xdr:colOff>
      <xdr:row>35</xdr:row>
      <xdr:rowOff>56866</xdr:rowOff>
    </xdr:from>
    <xdr:to>
      <xdr:col>6</xdr:col>
      <xdr:colOff>581356</xdr:colOff>
      <xdr:row>43</xdr:row>
      <xdr:rowOff>50990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2B9C31-064B-EF8B-DBCD-224A13C7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267" y="6520597"/>
          <a:ext cx="2927268" cy="1415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505956</xdr:colOff>
      <xdr:row>36</xdr:row>
      <xdr:rowOff>56866</xdr:rowOff>
    </xdr:from>
    <xdr:to>
      <xdr:col>11</xdr:col>
      <xdr:colOff>227462</xdr:colOff>
      <xdr:row>45</xdr:row>
      <xdr:rowOff>164908</xdr:rowOff>
    </xdr:to>
    <xdr:pic>
      <xdr:nvPicPr>
        <xdr:cNvPr id="8" name="Imagen 7" descr="Cómo hacer una firma digital transparente y sin fondo">
          <a:extLst>
            <a:ext uri="{FF2B5EF4-FFF2-40B4-BE49-F238E27FC236}">
              <a16:creationId xmlns:a16="http://schemas.microsoft.com/office/drawing/2014/main" id="{8D906D09-7CCE-5A74-FB53-07A2A1EF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195" y="6596418"/>
          <a:ext cx="2223595" cy="1832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CC50-0BBB-41CE-A863-0F368CA72239}">
  <sheetPr>
    <tabColor theme="9" tint="-0.499984740745262"/>
    <pageSetUpPr fitToPage="1"/>
  </sheetPr>
  <dimension ref="B1:L47"/>
  <sheetViews>
    <sheetView tabSelected="1" zoomScale="67" zoomScaleNormal="100" workbookViewId="0">
      <selection activeCell="E49" sqref="E49"/>
    </sheetView>
  </sheetViews>
  <sheetFormatPr baseColWidth="10" defaultRowHeight="15" x14ac:dyDescent="0.2"/>
  <sheetData>
    <row r="1" spans="2:12" ht="16" thickBot="1" x14ac:dyDescent="0.25"/>
    <row r="2" spans="2:12" x14ac:dyDescent="0.2">
      <c r="B2" s="54" t="s">
        <v>41</v>
      </c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2:12" x14ac:dyDescent="0.2">
      <c r="B3" s="57"/>
      <c r="C3" s="58"/>
      <c r="D3" s="58"/>
      <c r="E3" s="58"/>
      <c r="F3" s="58"/>
      <c r="G3" s="58"/>
      <c r="H3" s="58"/>
      <c r="I3" s="58"/>
      <c r="J3" s="58"/>
      <c r="K3" s="58"/>
      <c r="L3" s="59"/>
    </row>
    <row r="4" spans="2:12" x14ac:dyDescent="0.2">
      <c r="B4" s="57"/>
      <c r="C4" s="58"/>
      <c r="D4" s="58"/>
      <c r="E4" s="58"/>
      <c r="F4" s="58"/>
      <c r="G4" s="58"/>
      <c r="H4" s="58"/>
      <c r="I4" s="58"/>
      <c r="J4" s="58"/>
      <c r="K4" s="58"/>
      <c r="L4" s="59"/>
    </row>
    <row r="5" spans="2:12" ht="16" thickBot="1" x14ac:dyDescent="0.25">
      <c r="B5" s="60"/>
      <c r="C5" s="61"/>
      <c r="D5" s="61"/>
      <c r="E5" s="61"/>
      <c r="F5" s="61"/>
      <c r="G5" s="61"/>
      <c r="H5" s="61"/>
      <c r="I5" s="61"/>
      <c r="J5" s="61"/>
      <c r="K5" s="61"/>
      <c r="L5" s="62"/>
    </row>
    <row r="6" spans="2:12" ht="16" thickBo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2" t="s">
        <v>6</v>
      </c>
      <c r="C7" s="14" t="s">
        <v>28</v>
      </c>
      <c r="D7" s="14"/>
      <c r="E7" s="14"/>
      <c r="F7" s="14"/>
      <c r="G7" s="15"/>
      <c r="H7" s="2" t="s">
        <v>6</v>
      </c>
      <c r="I7" s="14" t="s">
        <v>35</v>
      </c>
      <c r="J7" s="14"/>
      <c r="K7" s="14"/>
      <c r="L7" s="15"/>
    </row>
    <row r="8" spans="2:12" x14ac:dyDescent="0.2">
      <c r="B8" s="3" t="s">
        <v>7</v>
      </c>
      <c r="C8" s="16" t="s">
        <v>30</v>
      </c>
      <c r="D8" s="16"/>
      <c r="E8" s="16"/>
      <c r="F8" s="16"/>
      <c r="G8" s="17"/>
      <c r="H8" s="3" t="s">
        <v>7</v>
      </c>
      <c r="I8" s="16" t="s">
        <v>34</v>
      </c>
      <c r="J8" s="16"/>
      <c r="K8" s="16"/>
      <c r="L8" s="17"/>
    </row>
    <row r="9" spans="2:12" x14ac:dyDescent="0.2">
      <c r="B9" s="3" t="s">
        <v>8</v>
      </c>
      <c r="C9" s="16" t="s">
        <v>32</v>
      </c>
      <c r="D9" s="16"/>
      <c r="E9" s="16"/>
      <c r="F9" s="16"/>
      <c r="G9" s="17"/>
      <c r="H9" s="3" t="s">
        <v>8</v>
      </c>
      <c r="I9" s="16" t="s">
        <v>36</v>
      </c>
      <c r="J9" s="16"/>
      <c r="K9" s="16"/>
      <c r="L9" s="17"/>
    </row>
    <row r="10" spans="2:12" x14ac:dyDescent="0.2">
      <c r="B10" s="3" t="s">
        <v>9</v>
      </c>
      <c r="C10" s="16" t="s">
        <v>31</v>
      </c>
      <c r="D10" s="16"/>
      <c r="E10" s="16"/>
      <c r="F10" s="16"/>
      <c r="G10" s="17"/>
      <c r="H10" s="3" t="s">
        <v>9</v>
      </c>
      <c r="I10" s="16" t="s">
        <v>37</v>
      </c>
      <c r="J10" s="16"/>
      <c r="K10" s="16"/>
      <c r="L10" s="17"/>
    </row>
    <row r="11" spans="2:12" ht="16" thickBot="1" x14ac:dyDescent="0.25">
      <c r="B11" s="4"/>
      <c r="C11" s="18"/>
      <c r="D11" s="18"/>
      <c r="E11" s="18"/>
      <c r="F11" s="18"/>
      <c r="G11" s="19"/>
      <c r="H11" s="4"/>
      <c r="I11" s="18"/>
      <c r="J11" s="18"/>
      <c r="K11" s="18"/>
      <c r="L11" s="19"/>
    </row>
    <row r="12" spans="2:12" ht="6" customHeight="1" thickBot="1" x14ac:dyDescent="0.25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2:12" ht="16" thickBot="1" x14ac:dyDescent="0.25">
      <c r="B13" s="63" t="s">
        <v>10</v>
      </c>
      <c r="C13" s="64"/>
      <c r="D13" s="67">
        <v>45436</v>
      </c>
      <c r="E13" s="68"/>
      <c r="F13" s="68"/>
      <c r="G13" s="68"/>
      <c r="H13" s="39" t="s">
        <v>11</v>
      </c>
      <c r="I13" s="39"/>
      <c r="J13" s="65">
        <v>45467</v>
      </c>
      <c r="K13" s="66"/>
      <c r="L13" s="69"/>
    </row>
    <row r="14" spans="2:12" ht="6.5" customHeight="1" thickBot="1" x14ac:dyDescent="0.25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2:12" ht="16" thickBot="1" x14ac:dyDescent="0.25">
      <c r="B15" s="48" t="s">
        <v>12</v>
      </c>
      <c r="C15" s="38"/>
      <c r="D15" s="38"/>
      <c r="E15" s="38"/>
      <c r="F15" s="38"/>
      <c r="G15" s="49" t="s">
        <v>13</v>
      </c>
      <c r="H15" s="49"/>
      <c r="I15" s="50" t="s">
        <v>40</v>
      </c>
      <c r="J15" s="50"/>
      <c r="K15" s="51" t="s">
        <v>14</v>
      </c>
      <c r="L15" s="52"/>
    </row>
    <row r="16" spans="2:12" x14ac:dyDescent="0.2">
      <c r="B16" s="53" t="s">
        <v>0</v>
      </c>
      <c r="C16" s="28"/>
      <c r="D16" s="28"/>
      <c r="E16" s="28"/>
      <c r="F16" s="28"/>
      <c r="G16" s="14" t="s">
        <v>27</v>
      </c>
      <c r="H16" s="14"/>
      <c r="I16" s="27">
        <v>49.58</v>
      </c>
      <c r="J16" s="27"/>
      <c r="K16" s="22">
        <f t="shared" ref="K16:K30" si="0">SUM(I16)</f>
        <v>49.58</v>
      </c>
      <c r="L16" s="11"/>
    </row>
    <row r="17" spans="2:12" x14ac:dyDescent="0.2">
      <c r="B17" s="23" t="s">
        <v>19</v>
      </c>
      <c r="C17" s="24"/>
      <c r="D17" s="24"/>
      <c r="E17" s="24"/>
      <c r="F17" s="24"/>
      <c r="G17" s="16">
        <v>40</v>
      </c>
      <c r="H17" s="16"/>
      <c r="I17" s="21">
        <v>9.61</v>
      </c>
      <c r="J17" s="21"/>
      <c r="K17" s="10">
        <f t="shared" si="0"/>
        <v>9.61</v>
      </c>
      <c r="L17" s="11"/>
    </row>
    <row r="18" spans="2:12" x14ac:dyDescent="0.2">
      <c r="B18" s="23" t="s">
        <v>23</v>
      </c>
      <c r="C18" s="24"/>
      <c r="D18" s="24"/>
      <c r="E18" s="24"/>
      <c r="F18" s="24"/>
      <c r="G18" s="16">
        <v>3</v>
      </c>
      <c r="H18" s="16"/>
      <c r="I18" s="21">
        <v>38.17</v>
      </c>
      <c r="J18" s="21"/>
      <c r="K18" s="10">
        <f t="shared" si="0"/>
        <v>38.17</v>
      </c>
      <c r="L18" s="11"/>
    </row>
    <row r="19" spans="2:12" x14ac:dyDescent="0.2">
      <c r="B19" s="23" t="s">
        <v>22</v>
      </c>
      <c r="C19" s="24"/>
      <c r="D19" s="24"/>
      <c r="E19" s="24"/>
      <c r="F19" s="24"/>
      <c r="G19" s="16">
        <v>3</v>
      </c>
      <c r="H19" s="16"/>
      <c r="I19" s="21">
        <v>49.67</v>
      </c>
      <c r="J19" s="21"/>
      <c r="K19" s="10">
        <f t="shared" si="0"/>
        <v>49.67</v>
      </c>
      <c r="L19" s="11"/>
    </row>
    <row r="20" spans="2:12" x14ac:dyDescent="0.2">
      <c r="B20" s="23" t="s">
        <v>21</v>
      </c>
      <c r="C20" s="24"/>
      <c r="D20" s="24"/>
      <c r="E20" s="24"/>
      <c r="F20" s="24"/>
      <c r="G20" s="16">
        <v>500</v>
      </c>
      <c r="H20" s="16"/>
      <c r="I20" s="21">
        <v>20.83</v>
      </c>
      <c r="J20" s="21"/>
      <c r="K20" s="10">
        <f t="shared" si="0"/>
        <v>20.83</v>
      </c>
      <c r="L20" s="11"/>
    </row>
    <row r="21" spans="2:12" x14ac:dyDescent="0.2">
      <c r="B21" s="23" t="s">
        <v>20</v>
      </c>
      <c r="C21" s="24"/>
      <c r="D21" s="24"/>
      <c r="E21" s="24"/>
      <c r="F21" s="24"/>
      <c r="G21" s="16">
        <v>150</v>
      </c>
      <c r="H21" s="16"/>
      <c r="I21" s="21">
        <v>3.92</v>
      </c>
      <c r="J21" s="21"/>
      <c r="K21" s="10">
        <f t="shared" si="0"/>
        <v>3.92</v>
      </c>
      <c r="L21" s="11"/>
    </row>
    <row r="22" spans="2:12" x14ac:dyDescent="0.2">
      <c r="B22" s="23" t="s">
        <v>1</v>
      </c>
      <c r="C22" s="24"/>
      <c r="D22" s="24"/>
      <c r="E22" s="24"/>
      <c r="F22" s="24"/>
      <c r="G22" s="16">
        <v>10</v>
      </c>
      <c r="H22" s="16"/>
      <c r="I22" s="21">
        <v>2500</v>
      </c>
      <c r="J22" s="21"/>
      <c r="K22" s="20">
        <f t="shared" si="0"/>
        <v>2500</v>
      </c>
      <c r="L22" s="20"/>
    </row>
    <row r="23" spans="2:12" x14ac:dyDescent="0.2">
      <c r="B23" s="23" t="s">
        <v>2</v>
      </c>
      <c r="C23" s="24"/>
      <c r="D23" s="24"/>
      <c r="E23" s="24"/>
      <c r="F23" s="24"/>
      <c r="G23" s="16">
        <v>11</v>
      </c>
      <c r="H23" s="16"/>
      <c r="I23" s="21">
        <v>3605</v>
      </c>
      <c r="J23" s="21"/>
      <c r="K23" s="20">
        <f t="shared" si="0"/>
        <v>3605</v>
      </c>
      <c r="L23" s="20"/>
    </row>
    <row r="24" spans="2:12" x14ac:dyDescent="0.2">
      <c r="B24" s="23" t="s">
        <v>3</v>
      </c>
      <c r="C24" s="24"/>
      <c r="D24" s="24"/>
      <c r="E24" s="24"/>
      <c r="F24" s="24"/>
      <c r="G24" s="16">
        <v>11</v>
      </c>
      <c r="H24" s="16"/>
      <c r="I24" s="21">
        <v>4644</v>
      </c>
      <c r="J24" s="21"/>
      <c r="K24" s="20">
        <f t="shared" si="0"/>
        <v>4644</v>
      </c>
      <c r="L24" s="20"/>
    </row>
    <row r="25" spans="2:12" x14ac:dyDescent="0.2">
      <c r="B25" s="23" t="s">
        <v>4</v>
      </c>
      <c r="C25" s="24"/>
      <c r="D25" s="24"/>
      <c r="E25" s="24"/>
      <c r="F25" s="24"/>
      <c r="G25" s="16">
        <v>11</v>
      </c>
      <c r="H25" s="16"/>
      <c r="I25" s="21">
        <v>150.69999999999999</v>
      </c>
      <c r="J25" s="21"/>
      <c r="K25" s="10">
        <f t="shared" si="0"/>
        <v>150.69999999999999</v>
      </c>
      <c r="L25" s="11"/>
    </row>
    <row r="26" spans="2:12" x14ac:dyDescent="0.2">
      <c r="B26" s="23" t="s">
        <v>5</v>
      </c>
      <c r="C26" s="24"/>
      <c r="D26" s="24"/>
      <c r="E26" s="24"/>
      <c r="F26" s="24"/>
      <c r="G26" s="16">
        <v>11</v>
      </c>
      <c r="H26" s="16"/>
      <c r="I26" s="21">
        <v>115.5</v>
      </c>
      <c r="J26" s="21"/>
      <c r="K26" s="10">
        <f t="shared" si="0"/>
        <v>115.5</v>
      </c>
      <c r="L26" s="11"/>
    </row>
    <row r="27" spans="2:12" x14ac:dyDescent="0.2">
      <c r="B27" s="23" t="s">
        <v>24</v>
      </c>
      <c r="C27" s="24"/>
      <c r="D27" s="24"/>
      <c r="E27" s="24"/>
      <c r="F27" s="24"/>
      <c r="G27" s="16">
        <v>3</v>
      </c>
      <c r="H27" s="16"/>
      <c r="I27" s="21">
        <v>333.33</v>
      </c>
      <c r="J27" s="21"/>
      <c r="K27" s="10">
        <f t="shared" si="0"/>
        <v>333.33</v>
      </c>
      <c r="L27" s="11"/>
    </row>
    <row r="28" spans="2:12" x14ac:dyDescent="0.2">
      <c r="B28" s="23" t="s">
        <v>25</v>
      </c>
      <c r="C28" s="24"/>
      <c r="D28" s="24"/>
      <c r="E28" s="24"/>
      <c r="F28" s="24"/>
      <c r="G28" s="16">
        <v>1</v>
      </c>
      <c r="H28" s="16"/>
      <c r="I28" s="21">
        <v>177.78</v>
      </c>
      <c r="J28" s="21"/>
      <c r="K28" s="10">
        <f t="shared" si="0"/>
        <v>177.78</v>
      </c>
      <c r="L28" s="11"/>
    </row>
    <row r="29" spans="2:12" x14ac:dyDescent="0.2">
      <c r="B29" s="23" t="s">
        <v>26</v>
      </c>
      <c r="C29" s="24"/>
      <c r="D29" s="24"/>
      <c r="E29" s="24"/>
      <c r="F29" s="24"/>
      <c r="G29" s="16">
        <v>6</v>
      </c>
      <c r="H29" s="16"/>
      <c r="I29" s="21">
        <v>260.5</v>
      </c>
      <c r="J29" s="21"/>
      <c r="K29" s="10">
        <f t="shared" si="0"/>
        <v>260.5</v>
      </c>
      <c r="L29" s="11"/>
    </row>
    <row r="30" spans="2:12" ht="16" thickBot="1" x14ac:dyDescent="0.25">
      <c r="B30" s="25" t="s">
        <v>29</v>
      </c>
      <c r="C30" s="26"/>
      <c r="D30" s="26"/>
      <c r="E30" s="26"/>
      <c r="F30" s="26"/>
      <c r="G30" s="18" t="s">
        <v>33</v>
      </c>
      <c r="H30" s="18"/>
      <c r="I30" s="21">
        <v>25833.33</v>
      </c>
      <c r="J30" s="21"/>
      <c r="K30" s="12">
        <f t="shared" si="0"/>
        <v>25833.33</v>
      </c>
      <c r="L30" s="13"/>
    </row>
    <row r="31" spans="2:12" ht="7.75" customHeight="1" thickBot="1" x14ac:dyDescent="0.25">
      <c r="B31" s="28"/>
      <c r="C31" s="28"/>
      <c r="D31" s="28"/>
      <c r="E31" s="28"/>
      <c r="F31" s="28"/>
      <c r="G31" s="28"/>
      <c r="H31" s="28"/>
      <c r="I31" s="28"/>
      <c r="J31" s="28"/>
      <c r="K31" s="24"/>
      <c r="L31" s="24"/>
    </row>
    <row r="32" spans="2:12" x14ac:dyDescent="0.2">
      <c r="B32" s="40" t="s">
        <v>15</v>
      </c>
      <c r="C32" s="41"/>
      <c r="D32" s="41"/>
      <c r="E32" s="41"/>
      <c r="F32" s="41"/>
      <c r="G32" s="41"/>
      <c r="H32" s="41"/>
      <c r="I32" s="41"/>
      <c r="J32" s="41"/>
      <c r="K32" s="41"/>
      <c r="L32" s="6">
        <f>SUM(K16:L30)</f>
        <v>37791.920000000006</v>
      </c>
    </row>
    <row r="33" spans="2:12" x14ac:dyDescent="0.2">
      <c r="B33" s="42" t="s">
        <v>16</v>
      </c>
      <c r="C33" s="43"/>
      <c r="D33" s="43"/>
      <c r="E33" s="43"/>
      <c r="F33" s="43"/>
      <c r="G33" s="43"/>
      <c r="H33" s="43"/>
      <c r="I33" s="43"/>
      <c r="J33" s="43"/>
      <c r="K33" s="43"/>
      <c r="L33" s="9">
        <v>0.1</v>
      </c>
    </row>
    <row r="34" spans="2:12" x14ac:dyDescent="0.2">
      <c r="B34" s="44" t="s">
        <v>17</v>
      </c>
      <c r="C34" s="45"/>
      <c r="D34" s="45"/>
      <c r="E34" s="45"/>
      <c r="F34" s="45"/>
      <c r="G34" s="45"/>
      <c r="H34" s="45"/>
      <c r="I34" s="45"/>
      <c r="J34" s="45"/>
      <c r="K34" s="45"/>
      <c r="L34" s="7">
        <v>0.16</v>
      </c>
    </row>
    <row r="35" spans="2:12" ht="16" thickBot="1" x14ac:dyDescent="0.25">
      <c r="B35" s="46" t="s">
        <v>18</v>
      </c>
      <c r="C35" s="47"/>
      <c r="D35" s="47"/>
      <c r="E35" s="47"/>
      <c r="F35" s="47"/>
      <c r="G35" s="47"/>
      <c r="H35" s="47"/>
      <c r="I35" s="47"/>
      <c r="J35" s="47"/>
      <c r="K35" s="47"/>
      <c r="L35" s="8">
        <f>(L32*0.9)*1.16</f>
        <v>39454.764479999998</v>
      </c>
    </row>
    <row r="36" spans="2:12" ht="6.5" customHeight="1" thickBot="1" x14ac:dyDescent="0.2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2:12" x14ac:dyDescent="0.2">
      <c r="B37" s="29" t="s">
        <v>38</v>
      </c>
      <c r="C37" s="30"/>
      <c r="D37" s="30"/>
      <c r="E37" s="30"/>
      <c r="F37" s="30"/>
      <c r="G37" s="30"/>
      <c r="H37" s="31"/>
      <c r="I37" s="29" t="s">
        <v>39</v>
      </c>
      <c r="J37" s="30"/>
      <c r="K37" s="30"/>
      <c r="L37" s="31"/>
    </row>
    <row r="38" spans="2:12" x14ac:dyDescent="0.2">
      <c r="B38" s="32"/>
      <c r="C38" s="33"/>
      <c r="D38" s="33"/>
      <c r="E38" s="33"/>
      <c r="F38" s="33"/>
      <c r="G38" s="33"/>
      <c r="H38" s="34"/>
      <c r="I38" s="32"/>
      <c r="J38" s="33"/>
      <c r="K38" s="33"/>
      <c r="L38" s="34"/>
    </row>
    <row r="39" spans="2:12" x14ac:dyDescent="0.2">
      <c r="B39" s="32"/>
      <c r="C39" s="33"/>
      <c r="D39" s="33"/>
      <c r="E39" s="33"/>
      <c r="F39" s="33"/>
      <c r="G39" s="33"/>
      <c r="H39" s="34"/>
      <c r="I39" s="32"/>
      <c r="J39" s="33"/>
      <c r="K39" s="33"/>
      <c r="L39" s="34"/>
    </row>
    <row r="40" spans="2:12" x14ac:dyDescent="0.2">
      <c r="B40" s="32"/>
      <c r="C40" s="33"/>
      <c r="D40" s="33"/>
      <c r="E40" s="33"/>
      <c r="F40" s="33"/>
      <c r="G40" s="33"/>
      <c r="H40" s="34"/>
      <c r="I40" s="32"/>
      <c r="J40" s="33"/>
      <c r="K40" s="33"/>
      <c r="L40" s="34"/>
    </row>
    <row r="41" spans="2:12" x14ac:dyDescent="0.2">
      <c r="B41" s="32"/>
      <c r="C41" s="33"/>
      <c r="D41" s="33"/>
      <c r="E41" s="33"/>
      <c r="F41" s="33"/>
      <c r="G41" s="33"/>
      <c r="H41" s="34"/>
      <c r="I41" s="32"/>
      <c r="J41" s="33"/>
      <c r="K41" s="33"/>
      <c r="L41" s="34"/>
    </row>
    <row r="42" spans="2:12" x14ac:dyDescent="0.2">
      <c r="B42" s="32"/>
      <c r="C42" s="33"/>
      <c r="D42" s="33"/>
      <c r="E42" s="33"/>
      <c r="F42" s="33"/>
      <c r="G42" s="33"/>
      <c r="H42" s="34"/>
      <c r="I42" s="32"/>
      <c r="J42" s="33"/>
      <c r="K42" s="33"/>
      <c r="L42" s="34"/>
    </row>
    <row r="43" spans="2:12" ht="16" thickBot="1" x14ac:dyDescent="0.25">
      <c r="B43" s="35"/>
      <c r="C43" s="36"/>
      <c r="D43" s="36"/>
      <c r="E43" s="36"/>
      <c r="F43" s="36"/>
      <c r="G43" s="36"/>
      <c r="H43" s="37"/>
      <c r="I43" s="35"/>
      <c r="J43" s="36"/>
      <c r="K43" s="36"/>
      <c r="L43" s="37"/>
    </row>
    <row r="47" spans="2:12" ht="16" x14ac:dyDescent="0.2">
      <c r="F47" s="5"/>
    </row>
  </sheetData>
  <mergeCells count="89">
    <mergeCell ref="G17:H17"/>
    <mergeCell ref="G18:H18"/>
    <mergeCell ref="G19:H19"/>
    <mergeCell ref="B2:L5"/>
    <mergeCell ref="B12:L12"/>
    <mergeCell ref="B13:C13"/>
    <mergeCell ref="B14:L14"/>
    <mergeCell ref="C9:G9"/>
    <mergeCell ref="C10:G10"/>
    <mergeCell ref="C11:G11"/>
    <mergeCell ref="B15:F15"/>
    <mergeCell ref="G15:H15"/>
    <mergeCell ref="I15:J15"/>
    <mergeCell ref="K15:L15"/>
    <mergeCell ref="B16:F16"/>
    <mergeCell ref="G16:H16"/>
    <mergeCell ref="B36:L36"/>
    <mergeCell ref="B37:H43"/>
    <mergeCell ref="I37:L43"/>
    <mergeCell ref="J13:L13"/>
    <mergeCell ref="D13:G13"/>
    <mergeCell ref="H13:I13"/>
    <mergeCell ref="B17:F17"/>
    <mergeCell ref="B18:F18"/>
    <mergeCell ref="B19:F19"/>
    <mergeCell ref="B31:L31"/>
    <mergeCell ref="B32:K32"/>
    <mergeCell ref="B33:K33"/>
    <mergeCell ref="B34:K34"/>
    <mergeCell ref="B35:K35"/>
    <mergeCell ref="G26:H26"/>
    <mergeCell ref="G27:H27"/>
    <mergeCell ref="B30:F30"/>
    <mergeCell ref="I16:J16"/>
    <mergeCell ref="I22:J22"/>
    <mergeCell ref="I23:J23"/>
    <mergeCell ref="I24:J24"/>
    <mergeCell ref="I25:J25"/>
    <mergeCell ref="B20:F20"/>
    <mergeCell ref="B21:F21"/>
    <mergeCell ref="B22:F22"/>
    <mergeCell ref="B23:F23"/>
    <mergeCell ref="B24:F24"/>
    <mergeCell ref="B25:F25"/>
    <mergeCell ref="G28:H28"/>
    <mergeCell ref="G29:H29"/>
    <mergeCell ref="G30:H30"/>
    <mergeCell ref="G20:H20"/>
    <mergeCell ref="I21:J21"/>
    <mergeCell ref="B26:F26"/>
    <mergeCell ref="B27:F27"/>
    <mergeCell ref="B28:F28"/>
    <mergeCell ref="B29:F29"/>
    <mergeCell ref="G21:H21"/>
    <mergeCell ref="G22:H22"/>
    <mergeCell ref="G23:H23"/>
    <mergeCell ref="G24:H24"/>
    <mergeCell ref="G25:H25"/>
    <mergeCell ref="K16:L16"/>
    <mergeCell ref="I17:J17"/>
    <mergeCell ref="I18:J18"/>
    <mergeCell ref="I19:J19"/>
    <mergeCell ref="I20:J20"/>
    <mergeCell ref="K17:L17"/>
    <mergeCell ref="K18:L18"/>
    <mergeCell ref="K19:L19"/>
    <mergeCell ref="K20:L20"/>
    <mergeCell ref="K21:L21"/>
    <mergeCell ref="I26:J26"/>
    <mergeCell ref="I27:J27"/>
    <mergeCell ref="I28:J28"/>
    <mergeCell ref="I29:J29"/>
    <mergeCell ref="I30:J30"/>
    <mergeCell ref="K28:L28"/>
    <mergeCell ref="K29:L29"/>
    <mergeCell ref="K30:L30"/>
    <mergeCell ref="C7:G7"/>
    <mergeCell ref="I7:L7"/>
    <mergeCell ref="I8:L8"/>
    <mergeCell ref="I9:L9"/>
    <mergeCell ref="I10:L10"/>
    <mergeCell ref="I11:L11"/>
    <mergeCell ref="C8:G8"/>
    <mergeCell ref="K22:L22"/>
    <mergeCell ref="K23:L23"/>
    <mergeCell ref="K24:L24"/>
    <mergeCell ref="K25:L25"/>
    <mergeCell ref="K26:L26"/>
    <mergeCell ref="K27:L27"/>
  </mergeCells>
  <pageMargins left="0.7" right="0.7" top="0.75" bottom="0.7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meztli.camac@gmail.com</dc:creator>
  <cp:lastModifiedBy>Francisco Jesus  Hernandez Piña</cp:lastModifiedBy>
  <cp:lastPrinted>2024-07-25T19:16:54Z</cp:lastPrinted>
  <dcterms:created xsi:type="dcterms:W3CDTF">2024-07-24T16:58:36Z</dcterms:created>
  <dcterms:modified xsi:type="dcterms:W3CDTF">2024-07-25T19:18:15Z</dcterms:modified>
</cp:coreProperties>
</file>